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10410"/>
  </bookViews>
  <sheets>
    <sheet name="Study Tracker" sheetId="1" r:id="rId1"/>
    <sheet name="Progress Dashboard" sheetId="2" r:id="rId2"/>
    <sheet name="Target Outcomes" sheetId="3" r:id="rId3"/>
  </sheets>
  <definedNames>
    <definedName name="_xlnm._FilterDatabase" localSheetId="0" hidden="1">'Study Tracker'!$A$4:$H$24</definedName>
  </definedNames>
  <calcPr calcId="162913"/>
</workbook>
</file>

<file path=xl/calcChain.xml><?xml version="1.0" encoding="utf-8"?>
<calcChain xmlns="http://schemas.openxmlformats.org/spreadsheetml/2006/main">
  <c r="B17" i="2" l="1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8" i="2"/>
  <c r="B7" i="2"/>
  <c r="B6" i="2"/>
  <c r="B5" i="2"/>
  <c r="B3" i="2"/>
</calcChain>
</file>

<file path=xl/sharedStrings.xml><?xml version="1.0" encoding="utf-8"?>
<sst xmlns="http://schemas.openxmlformats.org/spreadsheetml/2006/main" count="154" uniqueCount="93">
  <si>
    <t>6-MONTH PYTHON + AI + TABLEAU CAREER STUDY TRACKER</t>
  </si>
  <si>
    <t>1 hour daily • Select a status for every activity • Add completion dates and portfolio evidence</t>
  </si>
  <si>
    <t>Month</t>
  </si>
  <si>
    <t>Focus Area</t>
  </si>
  <si>
    <t>Course / Activity</t>
  </si>
  <si>
    <t>What to Learn / Deliverable</t>
  </si>
  <si>
    <t>Status</t>
  </si>
  <si>
    <t>Date Completed</t>
  </si>
  <si>
    <t>Notes / Evidence</t>
  </si>
  <si>
    <t>Portfolio Link</t>
  </si>
  <si>
    <t>Month 1</t>
  </si>
  <si>
    <t>Python Foundations</t>
  </si>
  <si>
    <t>Python Essential Training</t>
  </si>
  <si>
    <t>Core syntax, data types, functions</t>
  </si>
  <si>
    <t>Not Started</t>
  </si>
  <si>
    <t>Learning Python</t>
  </si>
  <si>
    <t>Reinforce basics with exercises</t>
  </si>
  <si>
    <t>Practice Project</t>
  </si>
  <si>
    <t>Build a grade calculator and automate a simple report</t>
  </si>
  <si>
    <t>Month 2</t>
  </si>
  <si>
    <t>Python for Data Analytics</t>
  </si>
  <si>
    <t>Python for Data Science Essential Training</t>
  </si>
  <si>
    <t>Pandas, NumPy, cleaning datasets</t>
  </si>
  <si>
    <t>Data Science Foundations: Python Scientific Stack</t>
  </si>
  <si>
    <t>NumPy, SciPy, Matplotlib</t>
  </si>
  <si>
    <t>Clean a messy dataset and visualize trends</t>
  </si>
  <si>
    <t>Month 3</t>
  </si>
  <si>
    <t>Visualization &amp; Reporting</t>
  </si>
  <si>
    <t>Data Analysis with Python</t>
  </si>
  <si>
    <t>Wrangling, grouping, pivot tables</t>
  </si>
  <si>
    <t>Data Visualization with Python</t>
  </si>
  <si>
    <t>Matplotlib, Seaborn</t>
  </si>
  <si>
    <t>Tableau 10 Essential Training</t>
  </si>
  <si>
    <t>Tableau basics for dashboards</t>
  </si>
  <si>
    <t>Replicate a Power BI dashboard in Python + Tableau</t>
  </si>
  <si>
    <t>Month 4</t>
  </si>
  <si>
    <t>Statistics &amp; Advanced Analytics</t>
  </si>
  <si>
    <t>Python Statistics Essential Training</t>
  </si>
  <si>
    <t>Statistical methods in Python</t>
  </si>
  <si>
    <t>Tableau Essential Training (Intermediate)</t>
  </si>
  <si>
    <t>Advanced charts, calculated fields</t>
  </si>
  <si>
    <t>Perform statistical analysis on sales data and visualize results in Tableau</t>
  </si>
  <si>
    <t>Month 5</t>
  </si>
  <si>
    <t>Machine Learning &amp; AI Essentials</t>
  </si>
  <si>
    <t>Machine Learning with Python: Foundations</t>
  </si>
  <si>
    <t>Scikit-learn basics</t>
  </si>
  <si>
    <t>AI Literacy (LinkedIn Learning)</t>
  </si>
  <si>
    <t>Core AI concepts</t>
  </si>
  <si>
    <t>Introduction to Artificial Intelligence (LinkedIn Learning)</t>
  </si>
  <si>
    <t>Broader AI applications</t>
  </si>
  <si>
    <t>Build a regression model predicting KPIs</t>
  </si>
  <si>
    <t>Month 6</t>
  </si>
  <si>
    <t>Dashboards &amp; Integration</t>
  </si>
  <si>
    <t>Building Dashboards with Streamlit and Python</t>
  </si>
  <si>
    <t>Interactive dashboards</t>
  </si>
  <si>
    <t>Tableau Advanced Training</t>
  </si>
  <si>
    <t>Storytelling, dashboard design best practices</t>
  </si>
  <si>
    <t>Deploy a Streamlit app and compare with Tableau dashboards</t>
  </si>
  <si>
    <t>PROGRESS DASHBOARD</t>
  </si>
  <si>
    <t>Overall Progress</t>
  </si>
  <si>
    <t>Total Activities</t>
  </si>
  <si>
    <t>Completed</t>
  </si>
  <si>
    <t>In Progress</t>
  </si>
  <si>
    <t>Total</t>
  </si>
  <si>
    <t>Progress</t>
  </si>
  <si>
    <t>Weekly Routine</t>
  </si>
  <si>
    <t>Monday–Wednesday</t>
  </si>
  <si>
    <t>Watch course modules + practice</t>
  </si>
  <si>
    <t>Thursday–Friday</t>
  </si>
  <si>
    <t>Apply concepts to mini-projects</t>
  </si>
  <si>
    <t>Saturday</t>
  </si>
  <si>
    <t>Review notes + coding challenges</t>
  </si>
  <si>
    <t>Sunday</t>
  </si>
  <si>
    <t>Portfolio update: GitHub + Tableau Public</t>
  </si>
  <si>
    <t>6-MONTH TARGET OUTCOMES</t>
  </si>
  <si>
    <t>Outcome</t>
  </si>
  <si>
    <t>Target</t>
  </si>
  <si>
    <t>Evidence</t>
  </si>
  <si>
    <t>Python</t>
  </si>
  <si>
    <t>Strong programming and data-analytics skills</t>
  </si>
  <si>
    <t>Completed courses + projects</t>
  </si>
  <si>
    <t>Data analytics</t>
  </si>
  <si>
    <t>Hands-on data cleaning, visualization and reporting</t>
  </si>
  <si>
    <t>Projects + portfolio links</t>
  </si>
  <si>
    <t>AI / Machine Learning</t>
  </si>
  <si>
    <t>Exposure to AI concepts and ML foundations</t>
  </si>
  <si>
    <t>Course completion + regression project</t>
  </si>
  <si>
    <t>Tableau</t>
  </si>
  <si>
    <t>Dashboarding and data storytelling skills</t>
  </si>
  <si>
    <t>Tableau projects + Tableau Public</t>
  </si>
  <si>
    <t>Portfolio</t>
  </si>
  <si>
    <t>Python + Tableau projects to showcase to employers</t>
  </si>
  <si>
    <t>GitHub + Tableau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</si>
</sst>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EAF4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  <xf numFmtId="9" fontId="0" fillId="0" borderId="0" xfId="0" applyNumberFormat="1"/>
    <xf numFmtId="0" fontId="4" fillId="4" borderId="0" xfId="0" applyFont="1" applyFill="1"/>
    <xf numFmtId="0" fontId="3" fillId="3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2">
    <dxf>
      <fill>
        <patternFill patternType="solid">
          <fgColor rgb="FFF4B183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pane ySplit="4" topLeftCell="A5" activePane="bottomLeft" state="frozen"/>
      <selection pane="bottomLeft" activeCell="E5" sqref="E5"/>
    </sheetView>
  </sheetViews>
  <sheetFormatPr defaultRowHeight="15" x14ac:dyDescent="0.25"/>
  <cols>
    <col min="1" max="1" width="12" customWidth="1"/>
    <col min="2" max="2" width="29" customWidth="1"/>
    <col min="3" max="3" width="43" customWidth="1"/>
    <col min="4" max="4" width="62" customWidth="1"/>
    <col min="5" max="5" width="16" customWidth="1"/>
    <col min="6" max="6" width="18" customWidth="1"/>
    <col min="7" max="7" width="35" customWidth="1"/>
    <col min="8" max="8" width="30" customWidth="1"/>
  </cols>
  <sheetData>
    <row r="1" spans="1:8" ht="21" x14ac:dyDescent="0.35">
      <c r="A1" s="9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7" t="s">
        <v>1</v>
      </c>
      <c r="B2" s="8"/>
      <c r="C2" s="8"/>
      <c r="D2" s="8"/>
      <c r="E2" s="8"/>
      <c r="F2" s="8"/>
      <c r="G2" s="8"/>
      <c r="H2" s="8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62</v>
      </c>
      <c r="F5" s="2"/>
      <c r="G5" s="2"/>
      <c r="H5" s="2"/>
    </row>
    <row r="6" spans="1:8" x14ac:dyDescent="0.25">
      <c r="A6" s="2" t="s">
        <v>10</v>
      </c>
      <c r="B6" s="2" t="s">
        <v>11</v>
      </c>
      <c r="C6" s="2" t="s">
        <v>15</v>
      </c>
      <c r="D6" s="2" t="s">
        <v>16</v>
      </c>
      <c r="E6" s="2" t="s">
        <v>14</v>
      </c>
      <c r="F6" s="2"/>
      <c r="G6" s="2"/>
      <c r="H6" s="2"/>
    </row>
    <row r="7" spans="1:8" x14ac:dyDescent="0.25">
      <c r="A7" s="2" t="s">
        <v>10</v>
      </c>
      <c r="B7" s="2" t="s">
        <v>11</v>
      </c>
      <c r="C7" s="2" t="s">
        <v>17</v>
      </c>
      <c r="D7" s="2" t="s">
        <v>18</v>
      </c>
      <c r="E7" s="2" t="s">
        <v>14</v>
      </c>
      <c r="F7" s="2"/>
      <c r="G7" s="2"/>
      <c r="H7" s="2"/>
    </row>
    <row r="8" spans="1:8" x14ac:dyDescent="0.25">
      <c r="A8" s="2" t="s">
        <v>19</v>
      </c>
      <c r="B8" s="2" t="s">
        <v>20</v>
      </c>
      <c r="C8" s="2" t="s">
        <v>21</v>
      </c>
      <c r="D8" s="2" t="s">
        <v>22</v>
      </c>
      <c r="E8" s="2" t="s">
        <v>14</v>
      </c>
      <c r="F8" s="2"/>
      <c r="G8" s="2"/>
      <c r="H8" s="2"/>
    </row>
    <row r="9" spans="1:8" ht="30" x14ac:dyDescent="0.25">
      <c r="A9" s="2" t="s">
        <v>19</v>
      </c>
      <c r="B9" s="2" t="s">
        <v>20</v>
      </c>
      <c r="C9" s="2" t="s">
        <v>23</v>
      </c>
      <c r="D9" s="2" t="s">
        <v>24</v>
      </c>
      <c r="E9" s="2" t="s">
        <v>14</v>
      </c>
      <c r="F9" s="2"/>
      <c r="G9" s="2"/>
      <c r="H9" s="2"/>
    </row>
    <row r="10" spans="1:8" x14ac:dyDescent="0.25">
      <c r="A10" s="2" t="s">
        <v>19</v>
      </c>
      <c r="B10" s="2" t="s">
        <v>20</v>
      </c>
      <c r="C10" s="2" t="s">
        <v>17</v>
      </c>
      <c r="D10" s="2" t="s">
        <v>25</v>
      </c>
      <c r="E10" s="2" t="s">
        <v>14</v>
      </c>
      <c r="F10" s="2"/>
      <c r="G10" s="2"/>
      <c r="H10" s="2"/>
    </row>
    <row r="11" spans="1:8" x14ac:dyDescent="0.25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14</v>
      </c>
      <c r="F11" s="2"/>
      <c r="G11" s="2"/>
      <c r="H11" s="2"/>
    </row>
    <row r="12" spans="1:8" x14ac:dyDescent="0.25">
      <c r="A12" s="2" t="s">
        <v>26</v>
      </c>
      <c r="B12" s="2" t="s">
        <v>27</v>
      </c>
      <c r="C12" s="2" t="s">
        <v>30</v>
      </c>
      <c r="D12" s="2" t="s">
        <v>31</v>
      </c>
      <c r="E12" s="2" t="s">
        <v>14</v>
      </c>
      <c r="F12" s="2"/>
      <c r="G12" s="2"/>
      <c r="H12" s="2"/>
    </row>
    <row r="13" spans="1:8" x14ac:dyDescent="0.25">
      <c r="A13" s="2" t="s">
        <v>26</v>
      </c>
      <c r="B13" s="2" t="s">
        <v>27</v>
      </c>
      <c r="C13" s="2" t="s">
        <v>32</v>
      </c>
      <c r="D13" s="2" t="s">
        <v>33</v>
      </c>
      <c r="E13" s="2" t="s">
        <v>14</v>
      </c>
      <c r="F13" s="2"/>
      <c r="G13" s="2"/>
      <c r="H13" s="2"/>
    </row>
    <row r="14" spans="1:8" x14ac:dyDescent="0.25">
      <c r="A14" s="2" t="s">
        <v>26</v>
      </c>
      <c r="B14" s="2" t="s">
        <v>27</v>
      </c>
      <c r="C14" s="2" t="s">
        <v>17</v>
      </c>
      <c r="D14" s="2" t="s">
        <v>34</v>
      </c>
      <c r="E14" s="2" t="s">
        <v>14</v>
      </c>
      <c r="F14" s="2"/>
      <c r="G14" s="2"/>
      <c r="H14" s="2"/>
    </row>
    <row r="15" spans="1:8" x14ac:dyDescent="0.25">
      <c r="A15" s="2" t="s">
        <v>35</v>
      </c>
      <c r="B15" s="2" t="s">
        <v>36</v>
      </c>
      <c r="C15" s="2" t="s">
        <v>37</v>
      </c>
      <c r="D15" s="2" t="s">
        <v>38</v>
      </c>
      <c r="E15" s="2" t="s">
        <v>14</v>
      </c>
      <c r="F15" s="2"/>
      <c r="G15" s="2"/>
      <c r="H15" s="2"/>
    </row>
    <row r="16" spans="1:8" x14ac:dyDescent="0.25">
      <c r="A16" s="2" t="s">
        <v>35</v>
      </c>
      <c r="B16" s="2" t="s">
        <v>36</v>
      </c>
      <c r="C16" s="2" t="s">
        <v>39</v>
      </c>
      <c r="D16" s="2" t="s">
        <v>40</v>
      </c>
      <c r="E16" s="2" t="s">
        <v>14</v>
      </c>
      <c r="F16" s="2"/>
      <c r="G16" s="2"/>
      <c r="H16" s="2"/>
    </row>
    <row r="17" spans="1:8" ht="30" x14ac:dyDescent="0.25">
      <c r="A17" s="2" t="s">
        <v>35</v>
      </c>
      <c r="B17" s="2" t="s">
        <v>36</v>
      </c>
      <c r="C17" s="2" t="s">
        <v>17</v>
      </c>
      <c r="D17" s="2" t="s">
        <v>41</v>
      </c>
      <c r="E17" s="2" t="s">
        <v>14</v>
      </c>
      <c r="F17" s="2"/>
      <c r="G17" s="2"/>
      <c r="H17" s="2"/>
    </row>
    <row r="18" spans="1:8" ht="30" x14ac:dyDescent="0.25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14</v>
      </c>
      <c r="F18" s="2"/>
      <c r="G18" s="2"/>
      <c r="H18" s="2"/>
    </row>
    <row r="19" spans="1:8" ht="30" x14ac:dyDescent="0.25">
      <c r="A19" s="2" t="s">
        <v>42</v>
      </c>
      <c r="B19" s="2" t="s">
        <v>43</v>
      </c>
      <c r="C19" s="2" t="s">
        <v>46</v>
      </c>
      <c r="D19" s="2" t="s">
        <v>47</v>
      </c>
      <c r="E19" s="2" t="s">
        <v>14</v>
      </c>
      <c r="F19" s="2"/>
      <c r="G19" s="2"/>
      <c r="H19" s="2"/>
    </row>
    <row r="20" spans="1:8" ht="30" x14ac:dyDescent="0.25">
      <c r="A20" s="2" t="s">
        <v>42</v>
      </c>
      <c r="B20" s="2" t="s">
        <v>43</v>
      </c>
      <c r="C20" s="2" t="s">
        <v>48</v>
      </c>
      <c r="D20" s="2" t="s">
        <v>49</v>
      </c>
      <c r="E20" s="2" t="s">
        <v>14</v>
      </c>
      <c r="F20" s="2"/>
      <c r="G20" s="2"/>
      <c r="H20" s="2"/>
    </row>
    <row r="21" spans="1:8" ht="30" x14ac:dyDescent="0.25">
      <c r="A21" s="2" t="s">
        <v>42</v>
      </c>
      <c r="B21" s="2" t="s">
        <v>43</v>
      </c>
      <c r="C21" s="2" t="s">
        <v>17</v>
      </c>
      <c r="D21" s="2" t="s">
        <v>50</v>
      </c>
      <c r="E21" s="2" t="s">
        <v>14</v>
      </c>
      <c r="F21" s="2"/>
      <c r="G21" s="2"/>
      <c r="H21" s="2"/>
    </row>
    <row r="22" spans="1:8" ht="30" x14ac:dyDescent="0.25">
      <c r="A22" s="2" t="s">
        <v>51</v>
      </c>
      <c r="B22" s="2" t="s">
        <v>52</v>
      </c>
      <c r="C22" s="2" t="s">
        <v>53</v>
      </c>
      <c r="D22" s="2" t="s">
        <v>54</v>
      </c>
      <c r="E22" s="2" t="s">
        <v>14</v>
      </c>
      <c r="F22" s="2"/>
      <c r="G22" s="2"/>
      <c r="H22" s="2"/>
    </row>
    <row r="23" spans="1:8" x14ac:dyDescent="0.25">
      <c r="A23" s="2" t="s">
        <v>51</v>
      </c>
      <c r="B23" s="2" t="s">
        <v>52</v>
      </c>
      <c r="C23" s="2" t="s">
        <v>55</v>
      </c>
      <c r="D23" s="2" t="s">
        <v>56</v>
      </c>
      <c r="E23" s="2" t="s">
        <v>14</v>
      </c>
      <c r="F23" s="2"/>
      <c r="G23" s="2"/>
      <c r="H23" s="2"/>
    </row>
    <row r="24" spans="1:8" x14ac:dyDescent="0.25">
      <c r="A24" s="2" t="s">
        <v>51</v>
      </c>
      <c r="B24" s="2" t="s">
        <v>52</v>
      </c>
      <c r="C24" s="2" t="s">
        <v>17</v>
      </c>
      <c r="D24" s="2" t="s">
        <v>57</v>
      </c>
      <c r="E24" s="2" t="s">
        <v>14</v>
      </c>
      <c r="F24" s="2"/>
      <c r="G24" s="2"/>
      <c r="H24" s="2"/>
    </row>
  </sheetData>
  <autoFilter ref="A4:H24"/>
  <mergeCells count="2">
    <mergeCell ref="A2:H2"/>
    <mergeCell ref="A1:H1"/>
  </mergeCells>
  <conditionalFormatting sqref="E5:E24">
    <cfRule type="cellIs" dxfId="1" priority="1" operator="equal">
      <formula>"Completed"</formula>
    </cfRule>
    <cfRule type="cellIs" dxfId="0" priority="2" operator="equal">
      <formula>"In Progress"</formula>
    </cfRule>
  </conditionalFormatting>
  <dataValidations count="1">
    <dataValidation type="list" sqref="E5:E24">
      <formula1>"Not Started,In Progress,Completed"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 x14ac:dyDescent="0.25"/>
  <cols>
    <col min="1" max="1" width="25" customWidth="1"/>
    <col min="2" max="2" width="45" customWidth="1"/>
    <col min="3" max="4" width="14" customWidth="1"/>
  </cols>
  <sheetData>
    <row r="1" spans="1:4" ht="21" x14ac:dyDescent="0.35">
      <c r="A1" s="9" t="s">
        <v>58</v>
      </c>
      <c r="B1" s="8"/>
      <c r="C1" s="8"/>
      <c r="D1" s="8"/>
    </row>
    <row r="3" spans="1:4" x14ac:dyDescent="0.25">
      <c r="A3" t="s">
        <v>59</v>
      </c>
      <c r="B3" s="3">
        <f>COUNTIF('Study Tracker'!E5:E24,"Completed")/COUNTA('Study Tracker'!C5:C24)</f>
        <v>0</v>
      </c>
    </row>
    <row r="5" spans="1:4" x14ac:dyDescent="0.25">
      <c r="A5" s="4" t="s">
        <v>60</v>
      </c>
      <c r="B5">
        <f>COUNTA('Study Tracker'!C5:C24)</f>
        <v>20</v>
      </c>
    </row>
    <row r="6" spans="1:4" x14ac:dyDescent="0.25">
      <c r="A6" s="4" t="s">
        <v>61</v>
      </c>
      <c r="B6">
        <f>COUNTIF('Study Tracker'!E5:E24,"Completed")</f>
        <v>0</v>
      </c>
    </row>
    <row r="7" spans="1:4" x14ac:dyDescent="0.25">
      <c r="A7" s="4" t="s">
        <v>62</v>
      </c>
      <c r="B7">
        <f>COUNTIF('Study Tracker'!E5:E24,"In Progress")</f>
        <v>1</v>
      </c>
    </row>
    <row r="8" spans="1:4" x14ac:dyDescent="0.25">
      <c r="A8" s="4" t="s">
        <v>14</v>
      </c>
      <c r="B8">
        <f>COUNTIF('Study Tracker'!E5:E24,"Not Started")</f>
        <v>19</v>
      </c>
    </row>
    <row r="11" spans="1:4" x14ac:dyDescent="0.25">
      <c r="A11" s="5" t="s">
        <v>2</v>
      </c>
      <c r="B11" s="5" t="s">
        <v>61</v>
      </c>
      <c r="C11" s="5" t="s">
        <v>63</v>
      </c>
      <c r="D11" s="5" t="s">
        <v>64</v>
      </c>
    </row>
    <row r="12" spans="1:4" x14ac:dyDescent="0.25">
      <c r="A12" t="s">
        <v>10</v>
      </c>
      <c r="B12">
        <f>COUNTIF('Study Tracker'!E5:E7,"Completed")</f>
        <v>0</v>
      </c>
      <c r="C12">
        <v>3</v>
      </c>
      <c r="D12" s="3">
        <f t="shared" ref="D12:D17" si="0">IF(C12=0,0,B12/C12)</f>
        <v>0</v>
      </c>
    </row>
    <row r="13" spans="1:4" x14ac:dyDescent="0.25">
      <c r="A13" t="s">
        <v>19</v>
      </c>
      <c r="B13">
        <f>COUNTIF('Study Tracker'!E8:E10,"Completed")</f>
        <v>0</v>
      </c>
      <c r="C13">
        <v>3</v>
      </c>
      <c r="D13" s="3">
        <f t="shared" si="0"/>
        <v>0</v>
      </c>
    </row>
    <row r="14" spans="1:4" x14ac:dyDescent="0.25">
      <c r="A14" t="s">
        <v>26</v>
      </c>
      <c r="B14">
        <f>COUNTIF('Study Tracker'!E11:E14,"Completed")</f>
        <v>0</v>
      </c>
      <c r="C14">
        <v>4</v>
      </c>
      <c r="D14" s="3">
        <f t="shared" si="0"/>
        <v>0</v>
      </c>
    </row>
    <row r="15" spans="1:4" x14ac:dyDescent="0.25">
      <c r="A15" t="s">
        <v>35</v>
      </c>
      <c r="B15">
        <f>COUNTIF('Study Tracker'!E15:E17,"Completed")</f>
        <v>0</v>
      </c>
      <c r="C15">
        <v>3</v>
      </c>
      <c r="D15" s="3">
        <f t="shared" si="0"/>
        <v>0</v>
      </c>
    </row>
    <row r="16" spans="1:4" x14ac:dyDescent="0.25">
      <c r="A16" t="s">
        <v>42</v>
      </c>
      <c r="B16">
        <f>COUNTIF('Study Tracker'!E18:E21,"Completed")</f>
        <v>0</v>
      </c>
      <c r="C16">
        <v>4</v>
      </c>
      <c r="D16" s="3">
        <f t="shared" si="0"/>
        <v>0</v>
      </c>
    </row>
    <row r="17" spans="1:4" x14ac:dyDescent="0.25">
      <c r="A17" t="s">
        <v>51</v>
      </c>
      <c r="B17">
        <f>COUNTIF('Study Tracker'!E22:E24,"Completed")</f>
        <v>0</v>
      </c>
      <c r="C17">
        <v>3</v>
      </c>
      <c r="D17" s="3">
        <f t="shared" si="0"/>
        <v>0</v>
      </c>
    </row>
    <row r="20" spans="1:4" x14ac:dyDescent="0.25">
      <c r="A20" s="10" t="s">
        <v>65</v>
      </c>
      <c r="B20" s="8"/>
      <c r="C20" s="8"/>
      <c r="D20" s="8"/>
    </row>
    <row r="21" spans="1:4" x14ac:dyDescent="0.25">
      <c r="A21" t="s">
        <v>66</v>
      </c>
      <c r="B21" s="8" t="s">
        <v>67</v>
      </c>
      <c r="C21" s="8"/>
      <c r="D21" s="8"/>
    </row>
    <row r="22" spans="1:4" x14ac:dyDescent="0.25">
      <c r="A22" t="s">
        <v>68</v>
      </c>
      <c r="B22" s="8" t="s">
        <v>69</v>
      </c>
      <c r="C22" s="8"/>
      <c r="D22" s="8"/>
    </row>
    <row r="23" spans="1:4" x14ac:dyDescent="0.25">
      <c r="A23" t="s">
        <v>70</v>
      </c>
      <c r="B23" s="8" t="s">
        <v>71</v>
      </c>
      <c r="C23" s="8"/>
      <c r="D23" s="8"/>
    </row>
    <row r="24" spans="1:4" x14ac:dyDescent="0.25">
      <c r="A24" t="s">
        <v>72</v>
      </c>
      <c r="B24" s="8" t="s">
        <v>73</v>
      </c>
      <c r="C24" s="8"/>
      <c r="D24" s="8"/>
    </row>
  </sheetData>
  <mergeCells count="6">
    <mergeCell ref="B24:D24"/>
    <mergeCell ref="A1:D1"/>
    <mergeCell ref="B23:D23"/>
    <mergeCell ref="B22:D22"/>
    <mergeCell ref="A20:D20"/>
    <mergeCell ref="B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x14ac:dyDescent="0.25"/>
  <cols>
    <col min="1" max="1" width="25" customWidth="1"/>
    <col min="2" max="2" width="55" customWidth="1"/>
    <col min="3" max="3" width="45" customWidth="1"/>
  </cols>
  <sheetData>
    <row r="1" spans="1:3" ht="21" x14ac:dyDescent="0.35">
      <c r="A1" s="11" t="s">
        <v>74</v>
      </c>
      <c r="B1" s="8"/>
      <c r="C1" s="8"/>
    </row>
    <row r="3" spans="1:3" x14ac:dyDescent="0.25">
      <c r="A3" s="5" t="s">
        <v>75</v>
      </c>
      <c r="B3" s="5" t="s">
        <v>76</v>
      </c>
      <c r="C3" s="5" t="s">
        <v>77</v>
      </c>
    </row>
    <row r="4" spans="1:3" x14ac:dyDescent="0.25">
      <c r="A4" s="6" t="s">
        <v>78</v>
      </c>
      <c r="B4" s="6" t="s">
        <v>79</v>
      </c>
      <c r="C4" s="6" t="s">
        <v>80</v>
      </c>
    </row>
    <row r="5" spans="1:3" x14ac:dyDescent="0.25">
      <c r="A5" s="6" t="s">
        <v>81</v>
      </c>
      <c r="B5" s="6" t="s">
        <v>82</v>
      </c>
      <c r="C5" s="6" t="s">
        <v>83</v>
      </c>
    </row>
    <row r="6" spans="1:3" x14ac:dyDescent="0.25">
      <c r="A6" s="6" t="s">
        <v>84</v>
      </c>
      <c r="B6" s="6" t="s">
        <v>85</v>
      </c>
      <c r="C6" s="6" t="s">
        <v>86</v>
      </c>
    </row>
    <row r="7" spans="1:3" x14ac:dyDescent="0.25">
      <c r="A7" s="6" t="s">
        <v>87</v>
      </c>
      <c r="B7" s="6" t="s">
        <v>88</v>
      </c>
      <c r="C7" s="6" t="s">
        <v>89</v>
      </c>
    </row>
    <row r="8" spans="1:3" x14ac:dyDescent="0.25">
      <c r="A8" s="6" t="s">
        <v>90</v>
      </c>
      <c r="B8" s="6" t="s">
        <v>91</v>
      </c>
      <c r="C8" s="6" t="s">
        <v>92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 Tracker</vt:lpstr>
      <vt:lpstr>Progress Dashboard</vt:lpstr>
      <vt:lpstr>Target 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Walela</cp:lastModifiedBy>
  <dcterms:created xsi:type="dcterms:W3CDTF">2026-10-06T08:45:39Z</dcterms:created>
  <dcterms:modified xsi:type="dcterms:W3CDTF">2026-10-06T09:40:06Z</dcterms:modified>
</cp:coreProperties>
</file>